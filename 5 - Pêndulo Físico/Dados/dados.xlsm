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Planilha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<sst xmlns="http://schemas.openxmlformats.org/spreadsheetml/2006/main" count="8" uniqueCount="8">
  <si>
    <t xml:space="preserve">L1(m)</t>
  </si>
  <si>
    <t xml:space="preserve">T (medido)</t>
  </si>
  <si>
    <t xml:space="preserve">T (calculado)</t>
  </si>
  <si>
    <t xml:space="preserve">δT(calculado)</t>
  </si>
  <si>
    <t xml:space="preserve">L2(m)</t>
  </si>
  <si>
    <t xml:space="preserve">M1</t>
  </si>
  <si>
    <t xml:space="preserve">M2</t>
  </si>
  <si>
    <t xml:space="preserve">L1(cm)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</si>
</sst>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DejaVu Sans"/>
      <family val="2"/>
      <charset val="1"/>
    </font>
    <font>
      <b val="true"/>
      <sz val="14"/>
      <name val="Arial"/>
      <family val="2"/>
    </font>
    <font>
      <b val="true"/>
      <sz val="14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5"/>
  <cols>
    <col collapsed="false" hidden="false" max="1" min="1" style="1" width="11.5204081632653"/>
    <col collapsed="false" hidden="false" max="2" min="2" style="1" width="15.8367346938776"/>
    <col collapsed="false" hidden="false" max="3" min="3" style="1" width="22.0867346938776"/>
    <col collapsed="false" hidden="false" max="4" min="4" style="1" width="20.9795918367347"/>
    <col collapsed="false" hidden="false" max="5" min="5" style="1" width="12.3673469387755"/>
    <col collapsed="false" hidden="false" max="9" min="6" style="1" width="11.5204081632653"/>
    <col collapsed="false" hidden="false" max="1025" min="10" style="0" width="11.5204081632653"/>
  </cols>
  <sheetData>
    <row r="1" s="2" customFormat="true" ht="17.35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customFormat="false" ht="15" hidden="false" customHeight="false" outlineLevel="0" collapsed="false">
      <c r="A2" s="1" t="n">
        <f aca="false">H2/100</f>
        <v>0.028</v>
      </c>
      <c r="B2" s="4" t="n">
        <v>1.87039</v>
      </c>
      <c r="C2" s="4" t="n">
        <f aca="false">2*PI()*SQRT( (1/9.80665)*((F2*A2*A2 +  G2*E2*E2)/(F2*A2 + G2*E2)) )</f>
        <v>1.88787308850952</v>
      </c>
      <c r="D2" s="1" t="n">
        <v>0.2</v>
      </c>
      <c r="E2" s="1" t="n">
        <v>0.912</v>
      </c>
      <c r="F2" s="1" t="n">
        <v>347.2</v>
      </c>
      <c r="G2" s="1" t="n">
        <v>342.7</v>
      </c>
      <c r="H2" s="1" t="n">
        <v>2.8</v>
      </c>
    </row>
    <row r="3" customFormat="false" ht="15" hidden="false" customHeight="false" outlineLevel="0" collapsed="false">
      <c r="A3" s="1" t="n">
        <f aca="false">H3/100</f>
        <v>0.108</v>
      </c>
      <c r="B3" s="4" t="n">
        <v>1.79869</v>
      </c>
      <c r="C3" s="4" t="n">
        <f aca="false">2*PI()*SQRT( (1/9.80665)*((F3*A3*A3 +  G3*E3*E3)/(F3*A3 + G3*E3)) )</f>
        <v>1.82337515519084</v>
      </c>
      <c r="D3" s="1" t="n">
        <v>0.2</v>
      </c>
      <c r="E3" s="1" t="n">
        <v>0.912</v>
      </c>
      <c r="F3" s="1" t="n">
        <v>347.2</v>
      </c>
      <c r="G3" s="1" t="n">
        <v>342.7</v>
      </c>
      <c r="H3" s="1" t="n">
        <f aca="false">H2+8</f>
        <v>10.8</v>
      </c>
    </row>
    <row r="4" customFormat="false" ht="15" hidden="false" customHeight="false" outlineLevel="0" collapsed="false">
      <c r="A4" s="1" t="n">
        <f aca="false">H4/100</f>
        <v>0.188</v>
      </c>
      <c r="B4" s="4" t="n">
        <v>1.77915</v>
      </c>
      <c r="C4" s="4" t="n">
        <f aca="false">2*PI()*SQRT( (1/9.80665)*((F4*A4*A4 +  G4*E4*E4)/(F4*A4 + G4*E4)) )</f>
        <v>1.77985323907995</v>
      </c>
      <c r="D4" s="1" t="n">
        <v>0.2</v>
      </c>
      <c r="E4" s="1" t="n">
        <v>0.912</v>
      </c>
      <c r="F4" s="1" t="n">
        <v>347.2</v>
      </c>
      <c r="G4" s="1" t="n">
        <v>342.7</v>
      </c>
      <c r="H4" s="1" t="n">
        <f aca="false">H3+8</f>
        <v>18.8</v>
      </c>
    </row>
    <row r="5" customFormat="false" ht="15" hidden="false" customHeight="false" outlineLevel="0" collapsed="false">
      <c r="A5" s="1" t="n">
        <f aca="false">H5/100</f>
        <v>0.268</v>
      </c>
      <c r="B5" s="4" t="n">
        <v>1.75805</v>
      </c>
      <c r="C5" s="4" t="n">
        <f aca="false">2*PI()*SQRT( (1/9.80665)*((F5*A5*A5 +  G5*E5*E5)/(F5*A5 + G5*E5)) )</f>
        <v>1.75403739652871</v>
      </c>
      <c r="D5" s="1" t="n">
        <v>0.2</v>
      </c>
      <c r="E5" s="1" t="n">
        <v>0.912</v>
      </c>
      <c r="F5" s="1" t="n">
        <v>347.2</v>
      </c>
      <c r="G5" s="1" t="n">
        <v>342.7</v>
      </c>
      <c r="H5" s="1" t="n">
        <f aca="false">H4+8</f>
        <v>26.8</v>
      </c>
    </row>
    <row r="6" customFormat="false" ht="15" hidden="false" customHeight="false" outlineLevel="0" collapsed="false">
      <c r="A6" s="1" t="n">
        <f aca="false">H6/100</f>
        <v>0.348</v>
      </c>
      <c r="B6" s="4" t="n">
        <v>1.75302</v>
      </c>
      <c r="C6" s="4" t="n">
        <f aca="false">2*PI()*SQRT( (1/9.80665)*((F6*A6*A6 +  G6*E6*E6)/(F6*A6 + G6*E6)) )</f>
        <v>1.74309908012979</v>
      </c>
      <c r="D6" s="1" t="n">
        <v>0.2</v>
      </c>
      <c r="E6" s="1" t="n">
        <v>0.912</v>
      </c>
      <c r="F6" s="1" t="n">
        <v>347.2</v>
      </c>
      <c r="G6" s="1" t="n">
        <v>342.7</v>
      </c>
      <c r="H6" s="1" t="n">
        <f aca="false">H5+8</f>
        <v>34.8</v>
      </c>
    </row>
    <row r="7" customFormat="false" ht="15" hidden="false" customHeight="false" outlineLevel="0" collapsed="false">
      <c r="A7" s="1" t="n">
        <f aca="false">H7/100</f>
        <v>0.428</v>
      </c>
      <c r="B7" s="4" t="n">
        <v>1.75947</v>
      </c>
      <c r="C7" s="4" t="n">
        <f aca="false">2*PI()*SQRT( (1/9.80665)*((F7*A7*A7 +  G7*E7*E7)/(F7*A7 + G7*E7)) )</f>
        <v>1.74457623253768</v>
      </c>
      <c r="D7" s="1" t="n">
        <v>0.2</v>
      </c>
      <c r="E7" s="1" t="n">
        <v>0.912</v>
      </c>
      <c r="F7" s="1" t="n">
        <v>347.2</v>
      </c>
      <c r="G7" s="1" t="n">
        <v>342.7</v>
      </c>
      <c r="H7" s="1" t="n">
        <f aca="false">H6+8</f>
        <v>42.8</v>
      </c>
    </row>
    <row r="8" customFormat="false" ht="15" hidden="false" customHeight="false" outlineLevel="0" collapsed="false">
      <c r="A8" s="1" t="n">
        <f aca="false">H8/100</f>
        <v>0.508</v>
      </c>
      <c r="B8" s="4" t="n">
        <v>1.7826</v>
      </c>
      <c r="C8" s="4" t="n">
        <f aca="false">2*PI()*SQRT( (1/9.80665)*((F8*A8*A8 +  G8*E8*E8)/(F8*A8 + G8*E8)) )</f>
        <v>1.75633285655514</v>
      </c>
      <c r="D8" s="1" t="n">
        <v>0.2</v>
      </c>
      <c r="E8" s="1" t="n">
        <v>0.912</v>
      </c>
      <c r="F8" s="1" t="n">
        <v>347.2</v>
      </c>
      <c r="G8" s="1" t="n">
        <v>342.7</v>
      </c>
      <c r="H8" s="1" t="n">
        <f aca="false">H7+8</f>
        <v>50.8</v>
      </c>
    </row>
    <row r="9" customFormat="false" ht="15" hidden="false" customHeight="false" outlineLevel="0" collapsed="false">
      <c r="A9" s="1" t="n">
        <f aca="false">H9/100</f>
        <v>0.588</v>
      </c>
      <c r="B9" s="4" t="n">
        <v>1.79688</v>
      </c>
      <c r="C9" s="4" t="n">
        <f aca="false">2*PI()*SQRT( (1/9.80665)*((F9*A9*A9 +  G9*E9*E9)/(F9*A9 + G9*E9)) )</f>
        <v>1.77653148928769</v>
      </c>
      <c r="D9" s="1" t="n">
        <v>0.2</v>
      </c>
      <c r="E9" s="1" t="n">
        <v>0.912</v>
      </c>
      <c r="F9" s="1" t="n">
        <v>347.2</v>
      </c>
      <c r="G9" s="1" t="n">
        <v>342.7</v>
      </c>
      <c r="H9" s="1" t="n">
        <f aca="false">H8+8</f>
        <v>58.8</v>
      </c>
    </row>
    <row r="10" customFormat="false" ht="15" hidden="false" customHeight="false" outlineLevel="0" collapsed="false">
      <c r="A10" s="1" t="n">
        <f aca="false">H10/100</f>
        <v>0.668</v>
      </c>
      <c r="B10" s="4" t="n">
        <v>1.81991</v>
      </c>
      <c r="C10" s="4" t="n">
        <f aca="false">2*PI()*SQRT( (1/9.80665)*((F10*A10*A10 +  G10*E10*E10)/(F10*A10 + G10*E10)) )</f>
        <v>1.80360787757626</v>
      </c>
      <c r="D10" s="1" t="n">
        <v>0.2</v>
      </c>
      <c r="E10" s="1" t="n">
        <v>0.912</v>
      </c>
      <c r="F10" s="1" t="n">
        <v>347.2</v>
      </c>
      <c r="G10" s="1" t="n">
        <v>342.7</v>
      </c>
      <c r="H10" s="1" t="n">
        <f aca="false">H9+8</f>
        <v>66.8</v>
      </c>
    </row>
    <row r="11" customFormat="false" ht="15" hidden="false" customHeight="false" outlineLevel="0" collapsed="false">
      <c r="A11" s="1" t="n">
        <f aca="false">H11/100</f>
        <v>0.748</v>
      </c>
      <c r="B11" s="4" t="n">
        <v>1.8606</v>
      </c>
      <c r="C11" s="4" t="n">
        <f aca="false">2*PI()*SQRT( (1/9.80665)*((F11*A11*A11 +  G11*E11*E11)/(F11*A11 + G11*E11)) )</f>
        <v>1.83624406259687</v>
      </c>
      <c r="D11" s="1" t="n">
        <v>0.2</v>
      </c>
      <c r="E11" s="1" t="n">
        <v>0.912</v>
      </c>
      <c r="F11" s="1" t="n">
        <v>347.2</v>
      </c>
      <c r="G11" s="1" t="n">
        <v>342.7</v>
      </c>
      <c r="H11" s="1" t="n">
        <f aca="false">H10+8</f>
        <v>74.8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2019-10-10T14:18:11Z</dcterms:created>
  <dc:creator/>
  <dc:description/>
  <dc:language>pt-BR</dc:language>
  <cp:lastModifiedBy/>
  <dcterms:modified xsi:type="dcterms:W3CDTF">2019-10-10T15:17:05Z</dcterms:modified>
  <cp:revision>6</cp:revision>
  <dc:subject/>
  <dc:title/>
</cp:coreProperties>
</file>